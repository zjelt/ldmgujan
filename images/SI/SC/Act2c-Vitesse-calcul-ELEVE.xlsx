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ze\Desktop\LYCEE\2 SI-CIT-SlotCar\Activite2-Fonctionnement\Activite2c-Vitesse&amp;Transmission\Activite2c-Doc-ELEVE\"/>
    </mc:Choice>
  </mc:AlternateContent>
  <xr:revisionPtr revIDLastSave="0" documentId="13_ncr:1_{130C6640-3D4C-4195-BD4A-7B02EAEE80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le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G10" i="1" s="1"/>
  <c r="I10" i="1" s="1"/>
  <c r="J10" i="1" s="1"/>
</calcChain>
</file>

<file path=xl/sharedStrings.xml><?xml version="1.0" encoding="utf-8"?>
<sst xmlns="http://schemas.openxmlformats.org/spreadsheetml/2006/main" count="11" uniqueCount="11">
  <si>
    <t>Vitesse voiture</t>
  </si>
  <si>
    <t>Nombre de dents</t>
  </si>
  <si>
    <t>Zpm</t>
  </si>
  <si>
    <t>Zcr</t>
  </si>
  <si>
    <t>Diamètre roue (mm)</t>
  </si>
  <si>
    <t>Npm (tr/min)</t>
  </si>
  <si>
    <t>r</t>
  </si>
  <si>
    <t>Ncr (tr/min)</t>
  </si>
  <si>
    <t>Vitesse V (m/s)</t>
  </si>
  <si>
    <t>Vitesse V (km/h)</t>
  </si>
  <si>
    <t>SLOT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</si>
</sst>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C];[Red]&quot;-&quot;#,##0.00&quot; &quot;[$€-40C]"/>
  </numFmts>
  <fonts count="6">
    <font>
      <sz val="11"/>
      <color rgb="FF000000"/>
      <name val="Arial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b/>
      <sz val="18"/>
      <color rgb="FF000000"/>
      <name val="Arial1"/>
    </font>
    <font>
      <b/>
      <sz val="11"/>
      <color rgb="FF000000"/>
      <name val="Arial1"/>
    </font>
    <font>
      <b/>
      <sz val="11"/>
      <color rgb="FFC5000B"/>
      <name val="Arial1"/>
    </font>
  </fonts>
  <fills count="6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0066CC"/>
        <bgColor rgb="FF0066CC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7">
    <xf numFmtId="0" fontId="0" fillId="0" borderId="0" xfId="0"/>
    <xf numFmtId="0" fontId="0" fillId="3" borderId="0" xfId="0" applyFill="1"/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0" fillId="5" borderId="4" xfId="0" applyFill="1" applyBorder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0" fillId="5" borderId="9" xfId="0" applyFill="1" applyBorder="1"/>
    <xf numFmtId="0" fontId="0" fillId="5" borderId="10" xfId="0" applyFill="1" applyBorder="1"/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2" fontId="5" fillId="3" borderId="10" xfId="0" applyNumberFormat="1" applyFont="1" applyFill="1" applyBorder="1" applyAlignment="1" applyProtection="1">
      <alignment horizontal="center" vertical="center"/>
      <protection locked="0"/>
    </xf>
    <xf numFmtId="2" fontId="5" fillId="3" borderId="4" xfId="0" applyNumberFormat="1" applyFont="1" applyFill="1" applyBorder="1" applyProtection="1"/>
    <xf numFmtId="0" fontId="4" fillId="3" borderId="3" xfId="0" applyFont="1" applyFill="1" applyBorder="1"/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816521</xdr:colOff>
      <xdr:row>9</xdr:row>
      <xdr:rowOff>79920</xdr:rowOff>
    </xdr:from>
    <xdr:ext cx="799559" cy="0"/>
    <xdr:cxnSp macro="">
      <xdr:nvCxnSpPr>
        <xdr:cNvPr id="15" name="Connecteur droit avec flèche 5">
          <a:extLst>
            <a:ext uri="{FF2B5EF4-FFF2-40B4-BE49-F238E27FC236}">
              <a16:creationId xmlns:a16="http://schemas.microsoft.com/office/drawing/2014/main" id="{072D3AAB-1A07-4250-B97E-2A1F1481E243}"/>
            </a:ext>
          </a:extLst>
        </xdr:cNvPr>
        <xdr:cNvCxnSpPr/>
      </xdr:nvCxnSpPr>
      <xdr:spPr>
        <a:xfrm>
          <a:off x="5121821" y="1927770"/>
          <a:ext cx="799559" cy="0"/>
        </a:xfrm>
        <a:prstGeom prst="straightConnector1">
          <a:avLst/>
        </a:prstGeom>
        <a:noFill/>
        <a:ln w="38160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5</xdr:col>
      <xdr:colOff>2610</xdr:colOff>
      <xdr:row>9</xdr:row>
      <xdr:rowOff>78481</xdr:rowOff>
    </xdr:from>
    <xdr:ext cx="798840" cy="0"/>
    <xdr:cxnSp macro="">
      <xdr:nvCxnSpPr>
        <xdr:cNvPr id="16" name="Connecteur droit avec flèche 6">
          <a:extLst>
            <a:ext uri="{FF2B5EF4-FFF2-40B4-BE49-F238E27FC236}">
              <a16:creationId xmlns:a16="http://schemas.microsoft.com/office/drawing/2014/main" id="{E6F5316E-8CE4-4A8A-A1B6-320CDDC5833B}"/>
            </a:ext>
          </a:extLst>
        </xdr:cNvPr>
        <xdr:cNvCxnSpPr/>
      </xdr:nvCxnSpPr>
      <xdr:spPr>
        <a:xfrm>
          <a:off x="3501460" y="1926331"/>
          <a:ext cx="798840" cy="0"/>
        </a:xfrm>
        <a:prstGeom prst="straightConnector1">
          <a:avLst/>
        </a:prstGeom>
        <a:noFill/>
        <a:ln w="38160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1</xdr:col>
      <xdr:colOff>874420</xdr:colOff>
      <xdr:row>9</xdr:row>
      <xdr:rowOff>56160</xdr:rowOff>
    </xdr:from>
    <xdr:ext cx="799560" cy="0"/>
    <xdr:cxnSp macro="">
      <xdr:nvCxnSpPr>
        <xdr:cNvPr id="14" name="Connecteur droit avec flèche 7">
          <a:extLst>
            <a:ext uri="{FF2B5EF4-FFF2-40B4-BE49-F238E27FC236}">
              <a16:creationId xmlns:a16="http://schemas.microsoft.com/office/drawing/2014/main" id="{F54EB4C9-1846-461D-BB05-476A5176E77A}"/>
            </a:ext>
          </a:extLst>
        </xdr:cNvPr>
        <xdr:cNvCxnSpPr/>
      </xdr:nvCxnSpPr>
      <xdr:spPr>
        <a:xfrm>
          <a:off x="1236370" y="1904010"/>
          <a:ext cx="799560" cy="0"/>
        </a:xfrm>
        <a:prstGeom prst="straightConnector1">
          <a:avLst/>
        </a:prstGeom>
        <a:noFill/>
        <a:ln w="38160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0</xdr:col>
      <xdr:colOff>272600</xdr:colOff>
      <xdr:row>10</xdr:row>
      <xdr:rowOff>64001</xdr:rowOff>
    </xdr:from>
    <xdr:ext cx="1030680" cy="448919"/>
    <xdr:pic>
      <xdr:nvPicPr>
        <xdr:cNvPr id="10" name="Image 9" descr="http://www.v-p-c.fr/article/1429-r.jpg">
          <a:extLst>
            <a:ext uri="{FF2B5EF4-FFF2-40B4-BE49-F238E27FC236}">
              <a16:creationId xmlns:a16="http://schemas.microsoft.com/office/drawing/2014/main" id="{169E3B8C-D1A9-4B81-9D3E-0659FB784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7906" b="13858"/>
        <a:stretch>
          <a:fillRect/>
        </a:stretch>
      </xdr:blipFill>
      <xdr:spPr>
        <a:xfrm rot="10800000">
          <a:off x="272600" y="2089651"/>
          <a:ext cx="1030680" cy="448919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6120</xdr:colOff>
      <xdr:row>13</xdr:row>
      <xdr:rowOff>106920</xdr:rowOff>
    </xdr:from>
    <xdr:ext cx="1381320" cy="847799"/>
    <xdr:pic>
      <xdr:nvPicPr>
        <xdr:cNvPr id="11" name="Image 10" descr="http://www.v-p-c.fr/article/1396-r.jpg">
          <a:extLst>
            <a:ext uri="{FF2B5EF4-FFF2-40B4-BE49-F238E27FC236}">
              <a16:creationId xmlns:a16="http://schemas.microsoft.com/office/drawing/2014/main" id="{7B923E38-21F4-4EF4-8B17-3134115AD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057170" y="2665970"/>
          <a:ext cx="1381320" cy="847799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780480</xdr:colOff>
      <xdr:row>16</xdr:row>
      <xdr:rowOff>29520</xdr:rowOff>
    </xdr:from>
    <xdr:ext cx="401400" cy="347040"/>
    <xdr:pic>
      <xdr:nvPicPr>
        <xdr:cNvPr id="12" name="Image 11" descr="http://www.v-p-c.fr/article/1385-r.jpg">
          <a:extLst>
            <a:ext uri="{FF2B5EF4-FFF2-40B4-BE49-F238E27FC236}">
              <a16:creationId xmlns:a16="http://schemas.microsoft.com/office/drawing/2014/main" id="{FEC2F386-5383-4BDF-AF39-E908687D3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025080" y="3121970"/>
          <a:ext cx="401400" cy="3470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353520</xdr:colOff>
      <xdr:row>17</xdr:row>
      <xdr:rowOff>27000</xdr:rowOff>
    </xdr:from>
    <xdr:ext cx="247320" cy="26640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323AE1C-53B9-4F6D-A964-1D77668E7B40}"/>
            </a:ext>
          </a:extLst>
        </xdr:cNvPr>
        <xdr:cNvSpPr/>
      </xdr:nvSpPr>
      <xdr:spPr>
        <a:xfrm>
          <a:off x="2404570" y="3297250"/>
          <a:ext cx="247320" cy="266400"/>
        </a:xfrm>
        <a:prstGeom prst="rect">
          <a:avLst/>
        </a:prstGeom>
        <a:solidFill>
          <a:srgbClr val="FFFFFF"/>
        </a:solidFill>
        <a:ln cap="flat">
          <a:noFill/>
          <a:prstDash val="solid"/>
        </a:ln>
      </xdr:spPr>
      <xdr:txBody>
        <a:bodyPr vert="horz" wrap="square" lIns="91440" tIns="45720" rIns="91440" bIns="45720" anchor="ctr" anchorCtr="1" compatLnSpc="0">
          <a:noAutofit/>
        </a:bodyPr>
        <a:lstStyle/>
        <a:p>
          <a:pPr marL="0" marR="0" lvl="0" indent="0" rtl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</a:pPr>
          <a:endParaRPr lang="fr-FR" sz="1200" b="0" i="0" u="none" strike="noStrike" kern="0" spc="0" baseline="0">
            <a:solidFill>
              <a:srgbClr val="000000"/>
            </a:solidFill>
            <a:latin typeface="Times New Roman" pitchFamily="18"/>
            <a:ea typeface="Segoe UI" pitchFamily="2"/>
            <a:cs typeface="Tahoma" pitchFamily="2"/>
          </a:endParaRPr>
        </a:p>
      </xdr:txBody>
    </xdr:sp>
    <xdr:clientData/>
  </xdr:oneCellAnchor>
  <xdr:oneCellAnchor>
    <xdr:from>
      <xdr:col>9</xdr:col>
      <xdr:colOff>588960</xdr:colOff>
      <xdr:row>10</xdr:row>
      <xdr:rowOff>51480</xdr:rowOff>
    </xdr:from>
    <xdr:ext cx="1967039" cy="546120"/>
    <xdr:pic>
      <xdr:nvPicPr>
        <xdr:cNvPr id="7" name="Image 14" descr="DSCF9503.JPG">
          <a:extLst>
            <a:ext uri="{FF2B5EF4-FFF2-40B4-BE49-F238E27FC236}">
              <a16:creationId xmlns:a16="http://schemas.microsoft.com/office/drawing/2014/main" id="{132C0F21-96D1-42A3-A870-ED86A236D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7916860" y="2077130"/>
          <a:ext cx="1967039" cy="54612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6</xdr:col>
      <xdr:colOff>659880</xdr:colOff>
      <xdr:row>10</xdr:row>
      <xdr:rowOff>102240</xdr:rowOff>
    </xdr:from>
    <xdr:ext cx="783720" cy="474480"/>
    <xdr:pic>
      <xdr:nvPicPr>
        <xdr:cNvPr id="5" name="Image 15" descr="http://www.v-p-c.fr/article/1396-r.jpg">
          <a:extLst>
            <a:ext uri="{FF2B5EF4-FFF2-40B4-BE49-F238E27FC236}">
              <a16:creationId xmlns:a16="http://schemas.microsoft.com/office/drawing/2014/main" id="{EA48E748-D549-4875-81CC-2D9788A96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965180" y="2127890"/>
          <a:ext cx="783720" cy="47448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6</xdr:col>
      <xdr:colOff>559440</xdr:colOff>
      <xdr:row>11</xdr:row>
      <xdr:rowOff>30600</xdr:rowOff>
    </xdr:from>
    <xdr:ext cx="497160" cy="687959"/>
    <xdr:sp macro="" textlink="">
      <xdr:nvSpPr>
        <xdr:cNvPr id="8" name="Forme libre 16">
          <a:extLst>
            <a:ext uri="{FF2B5EF4-FFF2-40B4-BE49-F238E27FC236}">
              <a16:creationId xmlns:a16="http://schemas.microsoft.com/office/drawing/2014/main" id="{779BB931-6D51-4A59-94A5-F26CBCF2FABA}"/>
            </a:ext>
          </a:extLst>
        </xdr:cNvPr>
        <xdr:cNvSpPr/>
      </xdr:nvSpPr>
      <xdr:spPr>
        <a:xfrm>
          <a:off x="4864740" y="2234050"/>
          <a:ext cx="497160" cy="6879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503116"/>
            <a:gd name="f7" fmla="val 360240"/>
            <a:gd name="f8" fmla="val 146539"/>
            <a:gd name="f9" fmla="val 3663"/>
            <a:gd name="f10" fmla="val 196606"/>
            <a:gd name="f11" fmla="val 245452"/>
            <a:gd name="f12" fmla="val 72048"/>
            <a:gd name="f13" fmla="val 300404"/>
            <a:gd name="f14" fmla="val 106240"/>
            <a:gd name="f15" fmla="val 355356"/>
            <a:gd name="f16" fmla="val 140432"/>
            <a:gd name="f17" fmla="val 449385"/>
            <a:gd name="f18" fmla="val 169740"/>
            <a:gd name="f19" fmla="val 476250"/>
            <a:gd name="f20" fmla="val 208817"/>
            <a:gd name="f21" fmla="val 247894"/>
            <a:gd name="f22" fmla="val 494568"/>
            <a:gd name="f23" fmla="val 321164"/>
            <a:gd name="f24" fmla="val 461597"/>
            <a:gd name="f25" fmla="val 340702"/>
            <a:gd name="f26" fmla="val 428626"/>
            <a:gd name="f27" fmla="val 334596"/>
            <a:gd name="f28" fmla="val 278423"/>
            <a:gd name="f29" fmla="val 326048"/>
            <a:gd name="f30" fmla="val 222250"/>
            <a:gd name="f31" fmla="val 311394"/>
            <a:gd name="f32" fmla="val 170962"/>
            <a:gd name="f33" fmla="val 285750"/>
            <a:gd name="f34" fmla="val 124558"/>
            <a:gd name="f35" fmla="val 252779"/>
            <a:gd name="f36" fmla="val 78154"/>
            <a:gd name="f37" fmla="val 219808"/>
            <a:gd name="f38" fmla="val 168519"/>
            <a:gd name="f39" fmla="val 128221"/>
            <a:gd name="f40" fmla="val 87923"/>
            <a:gd name="f41" fmla="val 96472"/>
            <a:gd name="f42" fmla="val 7327"/>
            <a:gd name="f43" fmla="+- 0 0 0"/>
            <a:gd name="f44" fmla="*/ f3 1 503116"/>
            <a:gd name="f45" fmla="*/ f4 1 360240"/>
            <a:gd name="f46" fmla="+- f7 0 f5"/>
            <a:gd name="f47" fmla="+- f6 0 f5"/>
            <a:gd name="f48" fmla="*/ f43 f0 1"/>
            <a:gd name="f49" fmla="*/ f47 1 503116"/>
            <a:gd name="f50" fmla="*/ f46 1 360240"/>
            <a:gd name="f51" fmla="*/ 146539 f47 1"/>
            <a:gd name="f52" fmla="*/ 3663 f46 1"/>
            <a:gd name="f53" fmla="*/ 300404 f47 1"/>
            <a:gd name="f54" fmla="*/ 106240 f46 1"/>
            <a:gd name="f55" fmla="*/ 476250 f47 1"/>
            <a:gd name="f56" fmla="*/ 208817 f46 1"/>
            <a:gd name="f57" fmla="*/ 461597 f47 1"/>
            <a:gd name="f58" fmla="*/ 340702 f46 1"/>
            <a:gd name="f59" fmla="*/ 278423 f47 1"/>
            <a:gd name="f60" fmla="*/ 326048 f46 1"/>
            <a:gd name="f61" fmla="*/ 124558 f47 1"/>
            <a:gd name="f62" fmla="*/ 252779 f46 1"/>
            <a:gd name="f63" fmla="*/ 0 f47 1"/>
            <a:gd name="f64" fmla="*/ 128221 f46 1"/>
            <a:gd name="f65" fmla="*/ f48 1 f2"/>
            <a:gd name="f66" fmla="*/ f51 1 503116"/>
            <a:gd name="f67" fmla="*/ f52 1 360240"/>
            <a:gd name="f68" fmla="*/ f53 1 503116"/>
            <a:gd name="f69" fmla="*/ f54 1 360240"/>
            <a:gd name="f70" fmla="*/ f55 1 503116"/>
            <a:gd name="f71" fmla="*/ f56 1 360240"/>
            <a:gd name="f72" fmla="*/ f57 1 503116"/>
            <a:gd name="f73" fmla="*/ f58 1 360240"/>
            <a:gd name="f74" fmla="*/ f59 1 503116"/>
            <a:gd name="f75" fmla="*/ f60 1 360240"/>
            <a:gd name="f76" fmla="*/ f61 1 503116"/>
            <a:gd name="f77" fmla="*/ f62 1 360240"/>
            <a:gd name="f78" fmla="*/ f63 1 503116"/>
            <a:gd name="f79" fmla="*/ f64 1 360240"/>
            <a:gd name="f80" fmla="*/ f5 1 f49"/>
            <a:gd name="f81" fmla="*/ f6 1 f49"/>
            <a:gd name="f82" fmla="*/ f5 1 f50"/>
            <a:gd name="f83" fmla="*/ f7 1 f50"/>
            <a:gd name="f84" fmla="+- f65 0 f1"/>
            <a:gd name="f85" fmla="*/ f66 1 f49"/>
            <a:gd name="f86" fmla="*/ f67 1 f50"/>
            <a:gd name="f87" fmla="*/ f68 1 f49"/>
            <a:gd name="f88" fmla="*/ f69 1 f50"/>
            <a:gd name="f89" fmla="*/ f70 1 f49"/>
            <a:gd name="f90" fmla="*/ f71 1 f50"/>
            <a:gd name="f91" fmla="*/ f72 1 f49"/>
            <a:gd name="f92" fmla="*/ f73 1 f50"/>
            <a:gd name="f93" fmla="*/ f74 1 f49"/>
            <a:gd name="f94" fmla="*/ f75 1 f50"/>
            <a:gd name="f95" fmla="*/ f76 1 f49"/>
            <a:gd name="f96" fmla="*/ f77 1 f50"/>
            <a:gd name="f97" fmla="*/ f78 1 f49"/>
            <a:gd name="f98" fmla="*/ f79 1 f50"/>
            <a:gd name="f99" fmla="*/ f80 f44 1"/>
            <a:gd name="f100" fmla="*/ f81 f44 1"/>
            <a:gd name="f101" fmla="*/ f83 f45 1"/>
            <a:gd name="f102" fmla="*/ f82 f45 1"/>
            <a:gd name="f103" fmla="*/ f85 f44 1"/>
            <a:gd name="f104" fmla="*/ f86 f45 1"/>
            <a:gd name="f105" fmla="*/ f87 f44 1"/>
            <a:gd name="f106" fmla="*/ f88 f45 1"/>
            <a:gd name="f107" fmla="*/ f89 f44 1"/>
            <a:gd name="f108" fmla="*/ f90 f45 1"/>
            <a:gd name="f109" fmla="*/ f91 f44 1"/>
            <a:gd name="f110" fmla="*/ f92 f45 1"/>
            <a:gd name="f111" fmla="*/ f93 f44 1"/>
            <a:gd name="f112" fmla="*/ f94 f45 1"/>
            <a:gd name="f113" fmla="*/ f95 f44 1"/>
            <a:gd name="f114" fmla="*/ f96 f45 1"/>
            <a:gd name="f115" fmla="*/ f97 f44 1"/>
            <a:gd name="f116" fmla="*/ f98 f4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3" y="f104"/>
            </a:cxn>
            <a:cxn ang="f84">
              <a:pos x="f105" y="f106"/>
            </a:cxn>
            <a:cxn ang="f84">
              <a:pos x="f107" y="f108"/>
            </a:cxn>
            <a:cxn ang="f84">
              <a:pos x="f109" y="f110"/>
            </a:cxn>
            <a:cxn ang="f84">
              <a:pos x="f111" y="f112"/>
            </a:cxn>
            <a:cxn ang="f84">
              <a:pos x="f113" y="f114"/>
            </a:cxn>
            <a:cxn ang="f84">
              <a:pos x="f115" y="f116"/>
            </a:cxn>
            <a:cxn ang="f84">
              <a:pos x="f103" y="f104"/>
            </a:cxn>
          </a:cxnLst>
          <a:rect l="f99" t="f102" r="f100" b="f101"/>
          <a:pathLst>
            <a:path w="503116" h="360240">
              <a:moveTo>
                <a:pt x="f8" y="f9"/>
              </a:moveTo>
              <a:cubicBezTo>
                <a:pt x="f10" y="f5"/>
                <a:pt x="f11" y="f12"/>
                <a:pt x="f13" y="f14"/>
              </a:cubicBezTo>
              <a:cubicBezTo>
                <a:pt x="f15" y="f16"/>
                <a:pt x="f17" y="f18"/>
                <a:pt x="f19" y="f20"/>
              </a:cubicBezTo>
              <a:cubicBezTo>
                <a:pt x="f6" y="f21"/>
                <a:pt x="f22" y="f23"/>
                <a:pt x="f24" y="f25"/>
              </a:cubicBezTo>
              <a:cubicBezTo>
                <a:pt x="f26" y="f7"/>
                <a:pt x="f27" y="f25"/>
                <a:pt x="f28" y="f29"/>
              </a:cubicBezTo>
              <a:cubicBezTo>
                <a:pt x="f30" y="f31"/>
                <a:pt x="f32" y="f33"/>
                <a:pt x="f34" y="f35"/>
              </a:cubicBezTo>
              <a:cubicBezTo>
                <a:pt x="f36" y="f37"/>
                <a:pt x="f5" y="f38"/>
                <a:pt x="f5" y="f39"/>
              </a:cubicBezTo>
              <a:cubicBezTo>
                <a:pt x="f5" y="f40"/>
                <a:pt x="f41" y="f42"/>
                <a:pt x="f8" y="f9"/>
              </a:cubicBezTo>
              <a:close/>
            </a:path>
          </a:pathLst>
        </a:custGeom>
        <a:solidFill>
          <a:srgbClr val="FFFFFF"/>
        </a:solidFill>
        <a:ln cap="flat">
          <a:noFill/>
          <a:prstDash val="solid"/>
        </a:ln>
      </xdr:spPr>
      <xdr:txBody>
        <a:bodyPr vert="horz" wrap="square" lIns="91440" tIns="45720" rIns="91440" bIns="45720" anchor="ctr" anchorCtr="1" compatLnSpc="0">
          <a:noAutofit/>
        </a:bodyPr>
        <a:lstStyle/>
        <a:p>
          <a:pPr lvl="0" rtl="0" hangingPunct="0">
            <a:buNone/>
            <a:tabLst/>
          </a:pPr>
          <a:endParaRPr lang="fr-FR" sz="1200">
            <a:latin typeface="Times New Roman" pitchFamily="18"/>
            <a:ea typeface="Segoe UI" pitchFamily="2"/>
            <a:cs typeface="Tahoma" pitchFamily="2"/>
          </a:endParaRPr>
        </a:p>
      </xdr:txBody>
    </xdr:sp>
    <xdr:clientData/>
  </xdr:oneCellAnchor>
  <xdr:absoluteAnchor>
    <xdr:pos x="5968080" y="2140200"/>
    <xdr:ext cx="457200" cy="1209960"/>
    <xdr:pic>
      <xdr:nvPicPr>
        <xdr:cNvPr id="2" name="Images 1">
          <a:extLst>
            <a:ext uri="{FF2B5EF4-FFF2-40B4-BE49-F238E27FC236}">
              <a16:creationId xmlns:a16="http://schemas.microsoft.com/office/drawing/2014/main" id="{23FA3A37-D7AA-4998-B58F-526E51852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lum/>
          <a:alphaModFix/>
        </a:blip>
        <a:srcRect/>
        <a:stretch>
          <a:fillRect/>
        </a:stretch>
      </xdr:blipFill>
      <xdr:spPr>
        <a:xfrm>
          <a:off x="5968080" y="2140200"/>
          <a:ext cx="457200" cy="1209960"/>
        </a:xfrm>
        <a:prstGeom prst="rect">
          <a:avLst/>
        </a:prstGeom>
        <a:noFill/>
        <a:ln cap="flat">
          <a:noFill/>
        </a:ln>
      </xdr:spPr>
    </xdr:pic>
    <xdr:clientData/>
  </xdr:absoluteAnchor>
  <xdr:oneCellAnchor>
    <xdr:from>
      <xdr:col>7</xdr:col>
      <xdr:colOff>530280</xdr:colOff>
      <xdr:row>12</xdr:row>
      <xdr:rowOff>15520</xdr:rowOff>
    </xdr:from>
    <xdr:ext cx="345240" cy="369719"/>
    <xdr:pic>
      <xdr:nvPicPr>
        <xdr:cNvPr id="9" name="Image 17" descr="http://www.v-p-c.fr/article/1437-r.jpg">
          <a:extLst>
            <a:ext uri="{FF2B5EF4-FFF2-40B4-BE49-F238E27FC236}">
              <a16:creationId xmlns:a16="http://schemas.microsoft.com/office/drawing/2014/main" id="{2E97A81F-73A7-4C70-9D15-585C1FE46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5654730" y="2396770"/>
          <a:ext cx="345240" cy="369719"/>
        </a:xfrm>
        <a:prstGeom prst="rect">
          <a:avLst/>
        </a:prstGeom>
        <a:noFill/>
        <a:ln cap="flat">
          <a:noFill/>
        </a:ln>
      </xdr:spPr>
    </xdr:pic>
    <xdr:clientData/>
  </xdr:oneCellAnchor>
  <xdr:absoluteAnchor>
    <xdr:pos x="2379960" y="72000"/>
    <xdr:ext cx="6980760" cy="76608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1FB537FC-8C1C-428A-8982-902BEDDD4D9E}"/>
            </a:ext>
          </a:extLst>
        </xdr:cNvPr>
        <xdr:cNvSpPr txBox="1"/>
      </xdr:nvSpPr>
      <xdr:spPr>
        <a:xfrm>
          <a:off x="2379960" y="72000"/>
          <a:ext cx="6980760" cy="766080"/>
        </a:xfrm>
        <a:prstGeom prst="rect">
          <a:avLst/>
        </a:prstGeom>
        <a:solidFill>
          <a:srgbClr val="99FF66"/>
        </a:solidFill>
        <a:ln w="3600" cap="flat">
          <a:solidFill>
            <a:srgbClr val="000000"/>
          </a:solidFill>
          <a:prstDash val="solid"/>
          <a:miter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rtl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</a:pPr>
          <a:r>
            <a:rPr lang="fr-FR" sz="1200" b="0" i="0" u="none" strike="noStrike" kern="0" spc="0" baseline="0">
              <a:solidFill>
                <a:srgbClr val="000000"/>
              </a:solidFill>
              <a:latin typeface="Times New Roman" pitchFamily="18"/>
              <a:ea typeface="Segoe UI" pitchFamily="2"/>
              <a:cs typeface="Tahoma" pitchFamily="2"/>
            </a:rPr>
            <a:t>Ce fichier est en lecture seule.</a:t>
          </a:r>
        </a:p>
        <a:p>
          <a:pPr marL="0" marR="0" lvl="0" indent="0" rtl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</a:pPr>
          <a:r>
            <a:rPr lang="fr-FR" sz="1200" b="0" i="0" u="none" strike="noStrike" kern="0" spc="0" baseline="0">
              <a:solidFill>
                <a:srgbClr val="000000"/>
              </a:solidFill>
              <a:latin typeface="Times New Roman" pitchFamily="18"/>
              <a:ea typeface="Segoe UI" pitchFamily="2"/>
              <a:cs typeface="Tahoma" pitchFamily="2"/>
            </a:rPr>
            <a:t>Pour l'exploiter, il faut l'enregistrer dans le dossier travail en le renommant </a:t>
          </a:r>
          <a:r>
            <a:rPr lang="fr-FR" sz="1200" b="0" i="1" u="none" strike="noStrike" kern="0" spc="0" baseline="0">
              <a:solidFill>
                <a:srgbClr val="000000"/>
              </a:solidFill>
              <a:latin typeface="Times New Roman" pitchFamily="18"/>
              <a:ea typeface="Segoe UI" pitchFamily="2"/>
              <a:cs typeface="Tahoma" pitchFamily="2"/>
            </a:rPr>
            <a:t>Act2c-Vitesse</a:t>
          </a:r>
          <a:r>
            <a:rPr lang="fr-FR" sz="1200" b="1" i="1" u="none" strike="noStrike" kern="0" spc="0" baseline="0">
              <a:solidFill>
                <a:srgbClr val="000000"/>
              </a:solidFill>
              <a:latin typeface="Times New Roman" pitchFamily="18"/>
              <a:ea typeface="Segoe UI" pitchFamily="2"/>
              <a:cs typeface="Tahoma" pitchFamily="2"/>
            </a:rPr>
            <a:t>–Votre nom d'équipe</a:t>
          </a:r>
        </a:p>
        <a:p>
          <a:pPr marL="0" marR="0" lvl="0" indent="0" rtl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</a:pPr>
          <a:endParaRPr lang="fr-FR" sz="1200" b="0" i="0" u="none" strike="noStrike" kern="0" spc="0" baseline="0">
            <a:solidFill>
              <a:srgbClr val="000000"/>
            </a:solidFill>
            <a:latin typeface="Times New Roman" pitchFamily="18"/>
            <a:ea typeface="Segoe UI" pitchFamily="2"/>
            <a:cs typeface="Tahoma" pitchFamily="2"/>
          </a:endParaRPr>
        </a:p>
        <a:p>
          <a:pPr marL="0" marR="0" lvl="0" indent="0" rtl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</a:pPr>
          <a:r>
            <a:rPr lang="fr-FR" sz="1200" b="0" i="0" u="none" strike="noStrike" kern="0" spc="0" baseline="0">
              <a:solidFill>
                <a:srgbClr val="000000"/>
              </a:solidFill>
              <a:latin typeface="Times New Roman" pitchFamily="18"/>
              <a:ea typeface="Segoe UI" pitchFamily="2"/>
              <a:cs typeface="Tahoma" pitchFamily="2"/>
            </a:rPr>
            <a:t>Compléter ensuite </a:t>
          </a:r>
          <a:r>
            <a:rPr lang="fr-FR" sz="1200" b="1" i="0" u="none" strike="noStrike" kern="0" spc="0" baseline="0">
              <a:solidFill>
                <a:srgbClr val="000000"/>
              </a:solidFill>
              <a:latin typeface="Times New Roman" pitchFamily="18"/>
              <a:ea typeface="Segoe UI" pitchFamily="2"/>
              <a:cs typeface="Tahoma" pitchFamily="2"/>
            </a:rPr>
            <a:t>uniquement</a:t>
          </a:r>
          <a:r>
            <a:rPr lang="fr-FR" sz="1200" b="0" i="0" u="none" strike="noStrike" kern="0" spc="0" baseline="0">
              <a:solidFill>
                <a:srgbClr val="000000"/>
              </a:solidFill>
              <a:latin typeface="Times New Roman" pitchFamily="18"/>
              <a:ea typeface="Segoe UI" pitchFamily="2"/>
              <a:cs typeface="Tahoma" pitchFamily="2"/>
            </a:rPr>
            <a:t> les c</a:t>
          </a:r>
          <a:r>
            <a:rPr lang="fr-FR" sz="1100" b="0" i="0" u="none" strike="noStrike" kern="0" spc="0" baseline="0">
              <a:solidFill>
                <a:srgbClr val="000000"/>
              </a:solidFill>
              <a:latin typeface="Times New Roman" pitchFamily="18"/>
              <a:ea typeface="Segoe UI" pitchFamily="2"/>
              <a:cs typeface="Tahoma" pitchFamily="2"/>
            </a:rPr>
            <a:t>ellules </a:t>
          </a:r>
          <a:r>
            <a:rPr lang="fr-FR" sz="1100" b="1" i="0" u="none" strike="noStrike" kern="0" spc="0" baseline="0">
              <a:solidFill>
                <a:srgbClr val="000000"/>
              </a:solidFill>
              <a:latin typeface="Times New Roman" pitchFamily="18"/>
              <a:ea typeface="Segoe UI" pitchFamily="2"/>
              <a:cs typeface="Tahoma" pitchFamily="2"/>
            </a:rPr>
            <a:t>jaunes</a:t>
          </a:r>
          <a:r>
            <a:rPr lang="fr-FR" sz="1100" b="0" i="0" u="none" strike="noStrike" kern="0" spc="0" baseline="0">
              <a:solidFill>
                <a:srgbClr val="000000"/>
              </a:solidFill>
              <a:latin typeface="Times New Roman" pitchFamily="18"/>
              <a:ea typeface="Segoe UI" pitchFamily="2"/>
              <a:cs typeface="Tahoma" pitchFamily="2"/>
            </a:rPr>
            <a:t>.</a:t>
          </a:r>
        </a:p>
      </xdr:txBody>
    </xdr:sp>
    <xdr:clientData/>
  </xdr:absoluteAnchor>
  <xdr:twoCellAnchor editAs="oneCell">
    <xdr:from>
      <xdr:col>3</xdr:col>
      <xdr:colOff>311150</xdr:colOff>
      <xdr:row>10</xdr:row>
      <xdr:rowOff>44450</xdr:rowOff>
    </xdr:from>
    <xdr:to>
      <xdr:col>4</xdr:col>
      <xdr:colOff>375497</xdr:colOff>
      <xdr:row>12</xdr:row>
      <xdr:rowOff>171450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7420908B-3DA6-42BA-A236-9D4CAA079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62200" y="2070100"/>
          <a:ext cx="788247" cy="482600"/>
        </a:xfrm>
        <a:prstGeom prst="rect">
          <a:avLst/>
        </a:prstGeom>
      </xdr:spPr>
    </xdr:pic>
    <xdr:clientData/>
  </xdr:twoCellAnchor>
  <xdr:twoCellAnchor editAs="oneCell">
    <xdr:from>
      <xdr:col>8</xdr:col>
      <xdr:colOff>516880</xdr:colOff>
      <xdr:row>10</xdr:row>
      <xdr:rowOff>23176</xdr:rowOff>
    </xdr:from>
    <xdr:to>
      <xdr:col>9</xdr:col>
      <xdr:colOff>510155</xdr:colOff>
      <xdr:row>11</xdr:row>
      <xdr:rowOff>171450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54894019-C9D3-44C7-8858-E67ABF170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47780" y="2048826"/>
          <a:ext cx="1390275" cy="326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C3" sqref="C3"/>
    </sheetView>
  </sheetViews>
  <sheetFormatPr baseColWidth="10" defaultRowHeight="14"/>
  <cols>
    <col min="1" max="1" width="4.75" customWidth="1"/>
    <col min="2" max="2" width="11.58203125" customWidth="1"/>
    <col min="3" max="3" width="10.58203125" customWidth="1"/>
    <col min="4" max="5" width="9.5" customWidth="1"/>
    <col min="6" max="6" width="10.58203125" customWidth="1"/>
    <col min="7" max="7" width="10.75" customWidth="1"/>
    <col min="8" max="8" width="10.58203125" customWidth="1"/>
    <col min="9" max="9" width="18.33203125" customWidth="1"/>
    <col min="10" max="10" width="15" customWidth="1"/>
    <col min="11" max="11" width="14.83203125" customWidth="1"/>
    <col min="12" max="12" width="11" customWidth="1"/>
    <col min="13" max="13" width="1.33203125" customWidth="1"/>
    <col min="14" max="1024" width="11" customWidth="1"/>
  </cols>
  <sheetData>
    <row r="1" spans="1:13" ht="24.65" customHeight="1">
      <c r="A1" s="3" t="s">
        <v>10</v>
      </c>
      <c r="B1" s="3"/>
      <c r="C1" s="3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23">
      <c r="A2" s="4" t="s">
        <v>0</v>
      </c>
      <c r="B2" s="4"/>
      <c r="C2" s="4"/>
      <c r="D2" s="1"/>
      <c r="E2" s="1"/>
      <c r="F2" s="1"/>
      <c r="G2" s="1"/>
      <c r="H2" s="1"/>
      <c r="I2" s="1"/>
      <c r="J2" s="1"/>
      <c r="K2" s="1"/>
      <c r="L2" s="1"/>
      <c r="M2" s="2"/>
    </row>
    <row r="3" spans="1:13">
      <c r="D3" s="1"/>
      <c r="E3" s="1"/>
      <c r="F3" s="1"/>
      <c r="G3" s="1"/>
      <c r="H3" s="1"/>
      <c r="I3" s="1"/>
      <c r="J3" s="1"/>
      <c r="K3" s="1"/>
      <c r="L3" s="1"/>
      <c r="M3" s="2"/>
    </row>
    <row r="4" spans="1:13">
      <c r="D4" s="1"/>
      <c r="E4" s="1"/>
      <c r="F4" s="1"/>
      <c r="G4" s="1"/>
      <c r="H4" s="1"/>
      <c r="I4" s="1"/>
      <c r="J4" s="1"/>
      <c r="K4" s="1"/>
      <c r="L4" s="1"/>
      <c r="M4" s="2"/>
    </row>
    <row r="5" spans="1:13" ht="14.5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</row>
    <row r="6" spans="1:13" ht="14.5" thickBot="1">
      <c r="A6" s="1"/>
      <c r="B6" s="1"/>
      <c r="C6" s="1"/>
      <c r="D6" s="7" t="s">
        <v>1</v>
      </c>
      <c r="E6" s="8"/>
      <c r="F6" s="1"/>
      <c r="G6" s="1"/>
      <c r="H6" s="1"/>
      <c r="I6" s="1"/>
      <c r="J6" s="1"/>
      <c r="K6" s="1"/>
      <c r="L6" s="1"/>
      <c r="M6" s="2"/>
    </row>
    <row r="7" spans="1:13">
      <c r="A7" s="1"/>
      <c r="B7" s="1"/>
      <c r="C7" s="1"/>
      <c r="D7" s="9" t="s">
        <v>2</v>
      </c>
      <c r="E7" s="10" t="s">
        <v>3</v>
      </c>
      <c r="F7" s="1"/>
      <c r="G7" s="1"/>
      <c r="H7" s="1"/>
      <c r="I7" s="16" t="s">
        <v>4</v>
      </c>
      <c r="J7" s="1"/>
      <c r="K7" s="1"/>
      <c r="L7" s="1"/>
      <c r="M7" s="2"/>
    </row>
    <row r="8" spans="1:13" ht="14.5" thickBot="1">
      <c r="A8" s="1"/>
      <c r="B8" s="1"/>
      <c r="C8" s="1"/>
      <c r="D8" s="11"/>
      <c r="E8" s="12"/>
      <c r="F8" s="1"/>
      <c r="G8" s="1"/>
      <c r="H8" s="1"/>
      <c r="I8" s="6"/>
      <c r="J8" s="1"/>
      <c r="K8" s="1"/>
      <c r="L8" s="1"/>
      <c r="M8" s="2"/>
    </row>
    <row r="9" spans="1:13">
      <c r="A9" s="1"/>
      <c r="B9" s="5" t="s">
        <v>5</v>
      </c>
      <c r="C9" s="1"/>
      <c r="D9" s="7" t="s">
        <v>6</v>
      </c>
      <c r="E9" s="8"/>
      <c r="F9" s="1"/>
      <c r="G9" s="5" t="s">
        <v>7</v>
      </c>
      <c r="H9" s="1"/>
      <c r="I9" s="16" t="s">
        <v>8</v>
      </c>
      <c r="J9" s="16" t="s">
        <v>9</v>
      </c>
      <c r="K9" s="1"/>
      <c r="L9" s="1"/>
      <c r="M9" s="2"/>
    </row>
    <row r="10" spans="1:13" ht="14.5" thickBot="1">
      <c r="A10" s="1"/>
      <c r="B10" s="6"/>
      <c r="C10" s="1"/>
      <c r="D10" s="13" t="e">
        <f>D8/E8</f>
        <v>#DIV/0!</v>
      </c>
      <c r="E10" s="14"/>
      <c r="F10" s="1"/>
      <c r="G10" s="15" t="e">
        <f>B10*D10</f>
        <v>#DIV/0!</v>
      </c>
      <c r="H10" s="1"/>
      <c r="I10" s="15" t="e">
        <f>((3.14*G10)/30)*((I8/1000)/2)</f>
        <v>#DIV/0!</v>
      </c>
      <c r="J10" s="15" t="e">
        <f>I10*3.6</f>
        <v>#DIV/0!</v>
      </c>
      <c r="K10" s="1"/>
      <c r="L10" s="1"/>
      <c r="M10" s="2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2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2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2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2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2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2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2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"/>
    </row>
    <row r="20" spans="1:13" ht="7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</sheetData>
  <mergeCells count="5">
    <mergeCell ref="A1:C1"/>
    <mergeCell ref="A2:C2"/>
    <mergeCell ref="D6:E6"/>
    <mergeCell ref="D9:E9"/>
    <mergeCell ref="D10:E10"/>
  </mergeCells>
  <pageMargins left="0.51181102362204722" right="0" top="0.74803149606299213" bottom="0.39370078740157477" header="0" footer="0"/>
  <pageSetup paperSize="0" fitToWidth="0" fitToHeight="0" orientation="portrait" horizontalDpi="0" verticalDpi="0" copies="0"/>
  <headerFoot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STI2D - GOZZERINO</dc:creator>
  <cp:lastModifiedBy>gozze</cp:lastModifiedBy>
  <cp:revision>49</cp:revision>
  <cp:lastPrinted>2017-05-17T12:04:31Z</cp:lastPrinted>
  <dcterms:created xsi:type="dcterms:W3CDTF">2017-05-17T13:16:38Z</dcterms:created>
  <dcterms:modified xsi:type="dcterms:W3CDTF">2021-11-18T14:33:42Z</dcterms:modified>
</cp:coreProperties>
</file>